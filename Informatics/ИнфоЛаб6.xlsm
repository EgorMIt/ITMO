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Библиотеки\YandexDisk\ИТМО\Информатика\"/>
    </mc:Choice>
  </mc:AlternateContent>
  <bookViews>
    <workbookView xWindow="0" yWindow="0" windowWidth="20490" windowHeight="7185" activeTab="5"/>
  </bookViews>
  <sheets>
    <sheet name="A2" sheetId="1" r:id="rId1"/>
    <sheet name="Справочник" sheetId="2" r:id="rId2"/>
    <sheet name="Расчет" sheetId="3" r:id="rId3"/>
    <sheet name="Диаграмма" sheetId="4" r:id="rId4"/>
    <sheet name="D3" sheetId="5" r:id="rId5"/>
    <sheet name="F2-1" sheetId="6" r:id="rId6"/>
    <sheet name="F2-2" sheetId="7" r:id="rId7"/>
  </sheets>
  <definedNames>
    <definedName name="_xlnm._FilterDatabase" localSheetId="4" hidden="1">'D3'!$A$1:$H$1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6" l="1"/>
  <c r="C4" i="6"/>
  <c r="C5" i="6"/>
  <c r="C6" i="6"/>
  <c r="C7" i="6"/>
  <c r="C8" i="6"/>
  <c r="C9" i="6"/>
  <c r="C10" i="6"/>
  <c r="C11" i="6"/>
  <c r="C12" i="6"/>
  <c r="C13" i="6"/>
  <c r="C3" i="6"/>
  <c r="H8" i="3" l="1"/>
  <c r="G8" i="3"/>
  <c r="F8" i="3"/>
  <c r="E8" i="3"/>
  <c r="B8" i="3"/>
  <c r="H5" i="3"/>
  <c r="H6" i="3"/>
  <c r="H7" i="3"/>
  <c r="H4" i="3"/>
  <c r="G5" i="3"/>
  <c r="G6" i="3"/>
  <c r="G7" i="3"/>
  <c r="G4" i="3"/>
  <c r="C5" i="3"/>
  <c r="C6" i="3"/>
  <c r="F6" i="3" s="1"/>
  <c r="C7" i="3"/>
  <c r="F7" i="3" s="1"/>
  <c r="C4" i="3"/>
  <c r="E5" i="3"/>
  <c r="F5" i="3" s="1"/>
  <c r="E6" i="3"/>
  <c r="E7" i="3"/>
  <c r="E4" i="3"/>
  <c r="F4" i="3" s="1"/>
  <c r="C29" i="1" l="1"/>
  <c r="E2" i="1"/>
  <c r="E1" i="1"/>
  <c r="D11" i="1" l="1"/>
  <c r="D12" i="1"/>
  <c r="D13" i="1"/>
  <c r="D14" i="1"/>
  <c r="D27" i="1" s="1"/>
  <c r="D15" i="1"/>
  <c r="D16" i="1"/>
  <c r="D17" i="1"/>
  <c r="D18" i="1"/>
  <c r="D19" i="1"/>
  <c r="D20" i="1"/>
  <c r="D21" i="1"/>
  <c r="D22" i="1"/>
  <c r="D23" i="1"/>
  <c r="D24" i="1"/>
  <c r="D25" i="1"/>
  <c r="D26" i="1"/>
  <c r="D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10" i="1"/>
  <c r="C27" i="1" s="1"/>
  <c r="D28" i="1"/>
  <c r="D29" i="1" l="1"/>
  <c r="C28" i="1"/>
</calcChain>
</file>

<file path=xl/sharedStrings.xml><?xml version="1.0" encoding="utf-8"?>
<sst xmlns="http://schemas.openxmlformats.org/spreadsheetml/2006/main" count="150" uniqueCount="90">
  <si>
    <t>Минимальное значение аргумента</t>
  </si>
  <si>
    <t>Максимальное значение аргумента</t>
  </si>
  <si>
    <t>Шаг изменения аргумента</t>
  </si>
  <si>
    <t>Искомое значение</t>
  </si>
  <si>
    <t>Расчет выражения на заданном интервале</t>
  </si>
  <si>
    <t>Аргумент X</t>
  </si>
  <si>
    <t>Значение выражения</t>
  </si>
  <si>
    <t xml:space="preserve">Максимальное значение выражения </t>
  </si>
  <si>
    <t xml:space="preserve">Минимальное значение выражения </t>
  </si>
  <si>
    <t>Количество искомых значений</t>
  </si>
  <si>
    <t>при A = 15</t>
  </si>
  <si>
    <t>при A = -5</t>
  </si>
  <si>
    <t>Вариант 2</t>
  </si>
  <si>
    <t>Лист 1</t>
  </si>
  <si>
    <t>Надбавка к з/пл</t>
  </si>
  <si>
    <t>Процент с прибыли</t>
  </si>
  <si>
    <t>Размер прибыли</t>
  </si>
  <si>
    <t>Надбавка за совместительтсво</t>
  </si>
  <si>
    <t>Тариф, руб/день</t>
  </si>
  <si>
    <t>Лист 2</t>
  </si>
  <si>
    <t>Расчет</t>
  </si>
  <si>
    <t>ФИО
Продавца</t>
  </si>
  <si>
    <t>Кол-во
отраб.
Дней</t>
  </si>
  <si>
    <t>Рабочее 
время в %</t>
  </si>
  <si>
    <t>Совместит
ельство</t>
  </si>
  <si>
    <t>Начисление
по тарифу</t>
  </si>
  <si>
    <t>Надбавка за 
совмещение</t>
  </si>
  <si>
    <t>Итого</t>
  </si>
  <si>
    <t>Хоп</t>
  </si>
  <si>
    <t>Хей</t>
  </si>
  <si>
    <t>Лала</t>
  </si>
  <si>
    <t>Лей</t>
  </si>
  <si>
    <t>Да</t>
  </si>
  <si>
    <t>Прибыль:</t>
  </si>
  <si>
    <t>Процент с 
прибыли,
руб</t>
  </si>
  <si>
    <t>Итого:</t>
  </si>
  <si>
    <t>Лист 3</t>
  </si>
  <si>
    <t>Диаграмма</t>
  </si>
  <si>
    <t>Номер</t>
  </si>
  <si>
    <t>Наименование</t>
  </si>
  <si>
    <t>Характеристики</t>
  </si>
  <si>
    <t>Страна-производитель</t>
  </si>
  <si>
    <t>Материал</t>
  </si>
  <si>
    <t>Дата изготовления</t>
  </si>
  <si>
    <t>Поставщик</t>
  </si>
  <si>
    <t>Цена</t>
  </si>
  <si>
    <t>Винт</t>
  </si>
  <si>
    <t>Гвоздь</t>
  </si>
  <si>
    <t>Шайба</t>
  </si>
  <si>
    <t>Резьба метрическая коническая (МК)</t>
  </si>
  <si>
    <t>Резьба цилиндрическая (MJ)</t>
  </si>
  <si>
    <t>Резьба трапецеидальная (Tr)</t>
  </si>
  <si>
    <t>Резьба упорная (S)</t>
  </si>
  <si>
    <t>Строительный</t>
  </si>
  <si>
    <t>Винтовой</t>
  </si>
  <si>
    <t>Дюкерт</t>
  </si>
  <si>
    <t>Гребенчатый</t>
  </si>
  <si>
    <t>Плоская</t>
  </si>
  <si>
    <t>Пружинная</t>
  </si>
  <si>
    <t>Коническая</t>
  </si>
  <si>
    <t>Германия</t>
  </si>
  <si>
    <t>Япония</t>
  </si>
  <si>
    <t>Малазия</t>
  </si>
  <si>
    <t>Китай</t>
  </si>
  <si>
    <t>Россия</t>
  </si>
  <si>
    <t>сталь</t>
  </si>
  <si>
    <t>медь</t>
  </si>
  <si>
    <t>РуТех</t>
  </si>
  <si>
    <t>Siemens</t>
  </si>
  <si>
    <t>Mrila</t>
  </si>
  <si>
    <t>Kolba</t>
  </si>
  <si>
    <t>Xiaomi</t>
  </si>
  <si>
    <t>Комплектующие</t>
  </si>
  <si>
    <t>Наименоание товара</t>
  </si>
  <si>
    <t>Цена, $/шт.</t>
  </si>
  <si>
    <t>Принтер ASUS</t>
  </si>
  <si>
    <t>Корпус Zalman</t>
  </si>
  <si>
    <t>Мышь Logitech</t>
  </si>
  <si>
    <t>Накопитель Samsung</t>
  </si>
  <si>
    <t>Ноутбук MSI</t>
  </si>
  <si>
    <t>Аксессуар Apple</t>
  </si>
  <si>
    <t>Блок питания Korsair</t>
  </si>
  <si>
    <t>Плата Aorus</t>
  </si>
  <si>
    <t>Наименование товара</t>
  </si>
  <si>
    <t>Количество, шт</t>
  </si>
  <si>
    <t>Итоговая цена</t>
  </si>
  <si>
    <t>Клавиатура Razor</t>
  </si>
  <si>
    <t>Монитор Aorus</t>
  </si>
  <si>
    <t>Ноутбук Apple</t>
  </si>
  <si>
    <t>Аксессуар Xiaomi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</si>
</sst>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gray06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 applyAlignment="1">
      <alignment horizontal="right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2" fontId="0" fillId="0" borderId="4" xfId="0" applyNumberFormat="1" applyBorder="1"/>
    <xf numFmtId="1" fontId="0" fillId="0" borderId="5" xfId="0" applyNumberFormat="1" applyBorder="1"/>
    <xf numFmtId="1" fontId="0" fillId="0" borderId="6" xfId="0" applyNumberFormat="1" applyBorder="1"/>
    <xf numFmtId="2" fontId="0" fillId="0" borderId="7" xfId="0" applyNumberFormat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2" fontId="0" fillId="0" borderId="8" xfId="0" applyNumberFormat="1" applyBorder="1"/>
    <xf numFmtId="2" fontId="0" fillId="0" borderId="12" xfId="0" applyNumberFormat="1" applyBorder="1"/>
    <xf numFmtId="2" fontId="0" fillId="0" borderId="10" xfId="0" applyNumberFormat="1" applyBorder="1"/>
    <xf numFmtId="2" fontId="0" fillId="0" borderId="2" xfId="0" applyNumberFormat="1" applyBorder="1"/>
    <xf numFmtId="2" fontId="0" fillId="0" borderId="3" xfId="0" applyNumberFormat="1" applyBorder="1"/>
    <xf numFmtId="49" fontId="0" fillId="0" borderId="1" xfId="0" applyNumberFormat="1" applyBorder="1" applyAlignment="1">
      <alignment horizontal="right" vertical="center" wrapText="1"/>
    </xf>
    <xf numFmtId="2" fontId="0" fillId="0" borderId="1" xfId="0" applyNumberFormat="1" applyBorder="1"/>
    <xf numFmtId="1" fontId="0" fillId="0" borderId="1" xfId="0" applyNumberFormat="1" applyBorder="1"/>
    <xf numFmtId="0" fontId="5" fillId="0" borderId="0" xfId="0" applyFont="1"/>
    <xf numFmtId="0" fontId="6" fillId="0" borderId="0" xfId="0" applyFont="1" applyAlignment="1">
      <alignment horizontal="right"/>
    </xf>
    <xf numFmtId="9" fontId="0" fillId="0" borderId="2" xfId="0" applyNumberFormat="1" applyBorder="1"/>
    <xf numFmtId="0" fontId="0" fillId="0" borderId="3" xfId="0" applyBorder="1"/>
    <xf numFmtId="9" fontId="0" fillId="0" borderId="3" xfId="0" applyNumberFormat="1" applyBorder="1"/>
    <xf numFmtId="0" fontId="0" fillId="0" borderId="4" xfId="0" applyBorder="1"/>
    <xf numFmtId="0" fontId="6" fillId="0" borderId="0" xfId="0" applyFont="1"/>
    <xf numFmtId="0" fontId="0" fillId="0" borderId="12" xfId="0" applyBorder="1"/>
    <xf numFmtId="0" fontId="0" fillId="0" borderId="0" xfId="0" applyBorder="1"/>
    <xf numFmtId="0" fontId="1" fillId="0" borderId="1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right"/>
    </xf>
    <xf numFmtId="1" fontId="0" fillId="2" borderId="0" xfId="0" applyNumberFormat="1" applyFill="1" applyBorder="1"/>
    <xf numFmtId="0" fontId="0" fillId="2" borderId="13" xfId="0" applyFill="1" applyBorder="1"/>
    <xf numFmtId="0" fontId="0" fillId="0" borderId="2" xfId="0" applyBorder="1"/>
    <xf numFmtId="1" fontId="0" fillId="1" borderId="2" xfId="0" applyNumberFormat="1" applyFill="1" applyBorder="1" applyAlignment="1">
      <alignment horizontal="center"/>
    </xf>
    <xf numFmtId="1" fontId="0" fillId="1" borderId="3" xfId="0" applyNumberForma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14" xfId="0" applyFill="1" applyBorder="1"/>
    <xf numFmtId="0" fontId="0" fillId="0" borderId="15" xfId="0" applyBorder="1"/>
    <xf numFmtId="0" fontId="0" fillId="2" borderId="15" xfId="0" applyFill="1" applyBorder="1"/>
    <xf numFmtId="1" fontId="0" fillId="2" borderId="15" xfId="0" applyNumberFormat="1" applyFill="1" applyBorder="1"/>
    <xf numFmtId="0" fontId="0" fillId="2" borderId="16" xfId="0" applyFill="1" applyBorder="1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0" borderId="1" xfId="0" applyBorder="1" applyAlignment="1">
      <alignment horizontal="right"/>
    </xf>
    <xf numFmtId="0" fontId="1" fillId="0" borderId="1" xfId="0" applyFont="1" applyBorder="1"/>
  </cellXfs>
  <cellStyles count="1">
    <cellStyle name="Обычный" xfId="0" builtinId="0"/>
  </cellStyles>
  <dxfs count="1">
    <dxf>
      <font>
        <b val="0"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Процент с прибыли,</a:t>
            </a:r>
            <a:r>
              <a:rPr lang="ru-RU" baseline="0"/>
              <a:t> руб</a:t>
            </a:r>
          </a:p>
        </c:rich>
      </c:tx>
      <c:layout>
        <c:manualLayout>
          <c:xMode val="edge"/>
          <c:yMode val="edge"/>
          <c:x val="0.1548888888888888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0185185185185185"/>
          <c:w val="0.82612073490813653"/>
          <c:h val="0.89814814814814814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delete val="1"/>
          </c:dLbls>
          <c:cat>
            <c:strRef>
              <c:f>Расчет!$A$4:$A$7</c:f>
              <c:strCache>
                <c:ptCount val="4"/>
                <c:pt idx="0">
                  <c:v>Хоп</c:v>
                </c:pt>
                <c:pt idx="1">
                  <c:v>Хей</c:v>
                </c:pt>
                <c:pt idx="2">
                  <c:v>Лала</c:v>
                </c:pt>
                <c:pt idx="3">
                  <c:v>Лей</c:v>
                </c:pt>
              </c:strCache>
            </c:strRef>
          </c:cat>
          <c:val>
            <c:numRef>
              <c:f>Расчет!$F$4:$F$7</c:f>
              <c:numCache>
                <c:formatCode>0</c:formatCode>
                <c:ptCount val="4"/>
                <c:pt idx="0">
                  <c:v>600</c:v>
                </c:pt>
                <c:pt idx="1">
                  <c:v>0</c:v>
                </c:pt>
                <c:pt idx="2">
                  <c:v>600</c:v>
                </c:pt>
                <c:pt idx="3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9A-487D-8A71-B19136F5093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</xdr:row>
      <xdr:rowOff>128587</xdr:rowOff>
    </xdr:from>
    <xdr:to>
      <xdr:col>7</xdr:col>
      <xdr:colOff>514350</xdr:colOff>
      <xdr:row>16</xdr:row>
      <xdr:rowOff>14287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1"/>
  <sheetViews>
    <sheetView topLeftCell="A3" workbookViewId="0">
      <selection activeCell="F24" sqref="F24"/>
    </sheetView>
  </sheetViews>
  <sheetFormatPr defaultRowHeight="15" x14ac:dyDescent="0.25"/>
  <cols>
    <col min="3" max="3" width="11" customWidth="1"/>
    <col min="4" max="4" width="10.42578125" customWidth="1"/>
  </cols>
  <sheetData>
    <row r="1" spans="1:5" x14ac:dyDescent="0.25">
      <c r="A1" s="1" t="s">
        <v>0</v>
      </c>
      <c r="B1" s="1"/>
      <c r="C1" s="1"/>
      <c r="D1" s="1"/>
      <c r="E1" s="7">
        <f>A10</f>
        <v>1</v>
      </c>
    </row>
    <row r="2" spans="1:5" x14ac:dyDescent="0.25">
      <c r="A2" s="1" t="s">
        <v>1</v>
      </c>
      <c r="B2" s="1"/>
      <c r="C2" s="1"/>
      <c r="D2" s="1"/>
      <c r="E2" s="8">
        <f>A26</f>
        <v>17</v>
      </c>
    </row>
    <row r="3" spans="1:5" x14ac:dyDescent="0.25">
      <c r="A3" s="1" t="s">
        <v>2</v>
      </c>
      <c r="B3" s="1"/>
      <c r="C3" s="1"/>
      <c r="D3" s="1"/>
      <c r="E3" s="8">
        <v>1</v>
      </c>
    </row>
    <row r="4" spans="1:5" x14ac:dyDescent="0.25">
      <c r="A4" s="1" t="s">
        <v>3</v>
      </c>
      <c r="B4" s="1"/>
      <c r="C4" s="1"/>
      <c r="D4" s="1"/>
      <c r="E4" s="9">
        <v>0.33</v>
      </c>
    </row>
    <row r="5" spans="1:5" x14ac:dyDescent="0.25">
      <c r="A5" s="2"/>
      <c r="B5" s="2"/>
      <c r="C5" s="2"/>
      <c r="D5" s="2"/>
    </row>
    <row r="6" spans="1:5" x14ac:dyDescent="0.25">
      <c r="A6" s="3" t="s">
        <v>4</v>
      </c>
      <c r="B6" s="3"/>
      <c r="C6" s="3"/>
      <c r="D6" s="3"/>
      <c r="E6" s="3"/>
    </row>
    <row r="8" spans="1:5" x14ac:dyDescent="0.25">
      <c r="A8" s="10" t="s">
        <v>5</v>
      </c>
      <c r="B8" s="10"/>
      <c r="C8" s="11" t="s">
        <v>6</v>
      </c>
      <c r="D8" s="11"/>
      <c r="E8" s="4"/>
    </row>
    <row r="9" spans="1:5" x14ac:dyDescent="0.25">
      <c r="A9" s="10"/>
      <c r="B9" s="10"/>
      <c r="C9" s="12" t="s">
        <v>10</v>
      </c>
      <c r="D9" s="12" t="s">
        <v>11</v>
      </c>
    </row>
    <row r="10" spans="1:5" x14ac:dyDescent="0.25">
      <c r="A10" s="13">
        <v>1</v>
      </c>
      <c r="B10" s="14"/>
      <c r="C10" s="19">
        <f>SQRT(ABS((A10/15)^2*15*COS(15*A10)))</f>
        <v>0.22504635268596279</v>
      </c>
      <c r="D10" s="22">
        <f>SQRT(ABS((A10/-5)^2*-5*COS(-5*A10)))</f>
        <v>0.23818571974962155</v>
      </c>
    </row>
    <row r="11" spans="1:5" x14ac:dyDescent="0.25">
      <c r="A11" s="15">
        <v>2</v>
      </c>
      <c r="B11" s="16"/>
      <c r="C11" s="20">
        <f t="shared" ref="C11:C26" si="0">SQRT(ABS((A11/15)^2*15*COS(15*A11)))</f>
        <v>0.20281449644939686</v>
      </c>
      <c r="D11" s="23">
        <f t="shared" ref="D11:D26" si="1">SQRT(ABS((A11/-5)^2*-5*COS(-5*A11)))</f>
        <v>0.81930288859564149</v>
      </c>
    </row>
    <row r="12" spans="1:5" x14ac:dyDescent="0.25">
      <c r="A12" s="15">
        <v>3</v>
      </c>
      <c r="B12" s="16"/>
      <c r="C12" s="20">
        <f t="shared" si="0"/>
        <v>0.56142069189747357</v>
      </c>
      <c r="D12" s="23">
        <f t="shared" si="1"/>
        <v>1.1693751507304566</v>
      </c>
    </row>
    <row r="13" spans="1:5" x14ac:dyDescent="0.25">
      <c r="A13" s="15">
        <v>4</v>
      </c>
      <c r="B13" s="16"/>
      <c r="C13" s="20">
        <f t="shared" si="0"/>
        <v>1.0079222088581539</v>
      </c>
      <c r="D13" s="23">
        <f t="shared" si="1"/>
        <v>1.1427434523123965</v>
      </c>
    </row>
    <row r="14" spans="1:5" x14ac:dyDescent="0.25">
      <c r="A14" s="15">
        <v>5</v>
      </c>
      <c r="B14" s="16"/>
      <c r="C14" s="20">
        <f t="shared" si="0"/>
        <v>1.2394563793082496</v>
      </c>
      <c r="D14" s="23">
        <f t="shared" si="1"/>
        <v>2.226210695176305</v>
      </c>
    </row>
    <row r="15" spans="1:5" x14ac:dyDescent="0.25">
      <c r="A15" s="15">
        <v>6</v>
      </c>
      <c r="B15" s="16"/>
      <c r="C15" s="20">
        <f t="shared" si="0"/>
        <v>1.037003702360801</v>
      </c>
      <c r="D15" s="23">
        <f t="shared" si="1"/>
        <v>1.0538550370855591</v>
      </c>
    </row>
    <row r="16" spans="1:5" x14ac:dyDescent="0.25">
      <c r="A16" s="15">
        <v>7</v>
      </c>
      <c r="B16" s="16"/>
      <c r="C16" s="20">
        <f t="shared" si="0"/>
        <v>0.88720510265191299</v>
      </c>
      <c r="D16" s="23">
        <f t="shared" si="1"/>
        <v>2.9759340735131827</v>
      </c>
    </row>
    <row r="17" spans="1:4" x14ac:dyDescent="0.25">
      <c r="A17" s="15">
        <v>8</v>
      </c>
      <c r="B17" s="16"/>
      <c r="C17" s="20">
        <f t="shared" si="0"/>
        <v>1.8638237061428307</v>
      </c>
      <c r="D17" s="23">
        <f t="shared" si="1"/>
        <v>2.9217815094816646</v>
      </c>
    </row>
    <row r="18" spans="1:4" x14ac:dyDescent="0.25">
      <c r="A18" s="15">
        <v>9</v>
      </c>
      <c r="B18" s="16"/>
      <c r="C18" s="20">
        <f t="shared" si="0"/>
        <v>2.3192400284926089</v>
      </c>
      <c r="D18" s="23">
        <f t="shared" si="1"/>
        <v>2.9172274883606906</v>
      </c>
    </row>
    <row r="19" spans="1:4" x14ac:dyDescent="0.25">
      <c r="A19" s="15">
        <v>10</v>
      </c>
      <c r="B19" s="16"/>
      <c r="C19" s="20">
        <f t="shared" si="0"/>
        <v>2.1590905592839702</v>
      </c>
      <c r="D19" s="23">
        <f t="shared" si="1"/>
        <v>4.3930991987254586</v>
      </c>
    </row>
    <row r="20" spans="1:4" x14ac:dyDescent="0.25">
      <c r="A20" s="15">
        <v>11</v>
      </c>
      <c r="B20" s="16"/>
      <c r="C20" s="20">
        <f t="shared" si="0"/>
        <v>0.73151756855687655</v>
      </c>
      <c r="D20" s="23">
        <f t="shared" si="1"/>
        <v>0.73175644960555608</v>
      </c>
    </row>
    <row r="21" spans="1:4" x14ac:dyDescent="0.25">
      <c r="A21" s="15">
        <v>12</v>
      </c>
      <c r="B21" s="16"/>
      <c r="C21" s="20">
        <f t="shared" si="0"/>
        <v>2.3969181594195992</v>
      </c>
      <c r="D21" s="23">
        <f t="shared" si="1"/>
        <v>5.237317427458116</v>
      </c>
    </row>
    <row r="22" spans="1:4" x14ac:dyDescent="0.25">
      <c r="A22" s="15">
        <v>13</v>
      </c>
      <c r="B22" s="16"/>
      <c r="C22" s="20">
        <f t="shared" si="0"/>
        <v>3.3154208978487794</v>
      </c>
      <c r="D22" s="23">
        <f t="shared" si="1"/>
        <v>4.3601536867236934</v>
      </c>
    </row>
    <row r="23" spans="1:4" x14ac:dyDescent="0.25">
      <c r="A23" s="15">
        <v>14</v>
      </c>
      <c r="B23" s="16"/>
      <c r="C23" s="20">
        <f t="shared" si="0"/>
        <v>3.3984308608900164</v>
      </c>
      <c r="D23" s="23">
        <f t="shared" si="1"/>
        <v>4.9825809337112581</v>
      </c>
    </row>
    <row r="24" spans="1:4" x14ac:dyDescent="0.25">
      <c r="A24" s="15">
        <v>15</v>
      </c>
      <c r="B24" s="16"/>
      <c r="C24" s="20">
        <f t="shared" si="0"/>
        <v>2.3472942968349062</v>
      </c>
      <c r="D24" s="23">
        <f t="shared" si="1"/>
        <v>6.4404042681817515</v>
      </c>
    </row>
    <row r="25" spans="1:4" x14ac:dyDescent="0.25">
      <c r="A25" s="15">
        <v>16</v>
      </c>
      <c r="B25" s="16"/>
      <c r="C25" s="20">
        <f t="shared" si="0"/>
        <v>2.357965425488648</v>
      </c>
      <c r="D25" s="23">
        <f t="shared" si="1"/>
        <v>2.3773571217970675</v>
      </c>
    </row>
    <row r="26" spans="1:4" x14ac:dyDescent="0.25">
      <c r="A26" s="17">
        <v>17</v>
      </c>
      <c r="B26" s="18"/>
      <c r="C26" s="21">
        <f t="shared" si="0"/>
        <v>4.0759926616157589</v>
      </c>
      <c r="D26" s="6">
        <f t="shared" si="1"/>
        <v>7.5430080198933647</v>
      </c>
    </row>
    <row r="27" spans="1:4" x14ac:dyDescent="0.25">
      <c r="A27" s="24" t="s">
        <v>7</v>
      </c>
      <c r="B27" s="24"/>
      <c r="C27" s="25">
        <f>MAX(C10:C26)</f>
        <v>4.0759926616157589</v>
      </c>
      <c r="D27" s="25">
        <f>MAX(D10:D26)</f>
        <v>7.5430080198933647</v>
      </c>
    </row>
    <row r="28" spans="1:4" x14ac:dyDescent="0.25">
      <c r="A28" s="24" t="s">
        <v>8</v>
      </c>
      <c r="B28" s="24"/>
      <c r="C28" s="25">
        <f>MIN(C10:C26)</f>
        <v>0.20281449644939686</v>
      </c>
      <c r="D28" s="25">
        <f>MIN(D10:D26)</f>
        <v>0.23818571974962155</v>
      </c>
    </row>
    <row r="29" spans="1:4" x14ac:dyDescent="0.25">
      <c r="A29" s="24" t="s">
        <v>9</v>
      </c>
      <c r="B29" s="24"/>
      <c r="C29" s="26">
        <f>COUNTIF(C10:C26,E4)</f>
        <v>0</v>
      </c>
      <c r="D29" s="26">
        <f>COUNTIF(D10:D26,F4)</f>
        <v>0</v>
      </c>
    </row>
    <row r="31" spans="1:4" x14ac:dyDescent="0.25">
      <c r="A31" s="27" t="s">
        <v>12</v>
      </c>
    </row>
  </sheetData>
  <mergeCells count="27">
    <mergeCell ref="A27:B27"/>
    <mergeCell ref="A28:B28"/>
    <mergeCell ref="A29:B29"/>
    <mergeCell ref="A22:B22"/>
    <mergeCell ref="A23:B23"/>
    <mergeCell ref="A24:B24"/>
    <mergeCell ref="A25:B25"/>
    <mergeCell ref="A26:B26"/>
    <mergeCell ref="A16:B16"/>
    <mergeCell ref="A17:B17"/>
    <mergeCell ref="A18:B18"/>
    <mergeCell ref="A19:B19"/>
    <mergeCell ref="A20:B20"/>
    <mergeCell ref="A21:B21"/>
    <mergeCell ref="A10:B10"/>
    <mergeCell ref="A11:B11"/>
    <mergeCell ref="A12:B12"/>
    <mergeCell ref="A13:B13"/>
    <mergeCell ref="A14:B14"/>
    <mergeCell ref="A15:B15"/>
    <mergeCell ref="A1:D1"/>
    <mergeCell ref="A2:D2"/>
    <mergeCell ref="A3:D3"/>
    <mergeCell ref="A4:D4"/>
    <mergeCell ref="A6:E6"/>
    <mergeCell ref="A8:B9"/>
    <mergeCell ref="C8:D8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C6" sqref="C6"/>
    </sheetView>
  </sheetViews>
  <sheetFormatPr defaultRowHeight="15" x14ac:dyDescent="0.25"/>
  <cols>
    <col min="3" max="3" width="14.42578125" customWidth="1"/>
  </cols>
  <sheetData>
    <row r="1" spans="1:4" x14ac:dyDescent="0.25">
      <c r="A1" s="27" t="s">
        <v>13</v>
      </c>
      <c r="B1" s="27" t="s">
        <v>14</v>
      </c>
    </row>
    <row r="3" spans="1:4" x14ac:dyDescent="0.25">
      <c r="C3" s="28" t="s">
        <v>15</v>
      </c>
      <c r="D3" s="29">
        <v>0.15</v>
      </c>
    </row>
    <row r="4" spans="1:4" x14ac:dyDescent="0.25">
      <c r="C4" s="28" t="s">
        <v>16</v>
      </c>
      <c r="D4" s="30">
        <v>5000</v>
      </c>
    </row>
    <row r="5" spans="1:4" x14ac:dyDescent="0.25">
      <c r="C5" s="28" t="s">
        <v>17</v>
      </c>
      <c r="D5" s="31">
        <v>0.05</v>
      </c>
    </row>
    <row r="6" spans="1:4" x14ac:dyDescent="0.25">
      <c r="C6" s="28" t="s">
        <v>18</v>
      </c>
      <c r="D6" s="32">
        <v>350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C5" sqref="C5"/>
    </sheetView>
  </sheetViews>
  <sheetFormatPr defaultRowHeight="15" x14ac:dyDescent="0.25"/>
  <cols>
    <col min="1" max="1" width="11.42578125" customWidth="1"/>
    <col min="3" max="3" width="10.7109375" customWidth="1"/>
    <col min="4" max="4" width="11.140625" customWidth="1"/>
    <col min="5" max="5" width="12.7109375" customWidth="1"/>
    <col min="6" max="6" width="10.7109375" customWidth="1"/>
    <col min="7" max="7" width="13.140625" customWidth="1"/>
  </cols>
  <sheetData>
    <row r="1" spans="1:8" x14ac:dyDescent="0.25">
      <c r="A1" s="27" t="s">
        <v>19</v>
      </c>
      <c r="B1" s="27" t="s">
        <v>20</v>
      </c>
    </row>
    <row r="3" spans="1:8" ht="45" x14ac:dyDescent="0.25">
      <c r="A3" s="36" t="s">
        <v>21</v>
      </c>
      <c r="B3" s="36" t="s">
        <v>22</v>
      </c>
      <c r="C3" s="36" t="s">
        <v>23</v>
      </c>
      <c r="D3" s="36" t="s">
        <v>24</v>
      </c>
      <c r="E3" s="36" t="s">
        <v>25</v>
      </c>
      <c r="F3" s="36" t="s">
        <v>34</v>
      </c>
      <c r="G3" s="36" t="s">
        <v>26</v>
      </c>
      <c r="H3" s="36" t="s">
        <v>27</v>
      </c>
    </row>
    <row r="4" spans="1:8" x14ac:dyDescent="0.25">
      <c r="A4" s="34" t="s">
        <v>28</v>
      </c>
      <c r="B4" s="40">
        <v>16</v>
      </c>
      <c r="C4" s="41">
        <f>B4*100/SUM($B$4:$B$7)</f>
        <v>26.666666666666668</v>
      </c>
      <c r="D4" s="35"/>
      <c r="E4" s="43">
        <f>B4*Справочник!$D$6</f>
        <v>5600</v>
      </c>
      <c r="F4" s="38">
        <f>IF(E4&gt;Справочник!$D$4,$B$9*Справочник!$D$3/100*C4,0)</f>
        <v>600</v>
      </c>
      <c r="G4" s="43">
        <f>IF(D4="Да",E4*Справочник!$D$5,0)</f>
        <v>0</v>
      </c>
      <c r="H4" s="39">
        <f>SUM(E4:G4)</f>
        <v>6200</v>
      </c>
    </row>
    <row r="5" spans="1:8" x14ac:dyDescent="0.25">
      <c r="A5" s="34" t="s">
        <v>29</v>
      </c>
      <c r="B5" s="30">
        <v>8</v>
      </c>
      <c r="C5" s="42">
        <f t="shared" ref="C5:C7" si="0">B5*100/SUM($B$4:$B$7)</f>
        <v>13.333333333333334</v>
      </c>
      <c r="D5" s="35"/>
      <c r="E5" s="44">
        <f>B5*Справочник!$D$6</f>
        <v>2800</v>
      </c>
      <c r="F5" s="38">
        <f>IF(E5&gt;Справочник!$D$4,$B$9*Справочник!$D$3/100*C5,0)</f>
        <v>0</v>
      </c>
      <c r="G5" s="44">
        <f>IF(D5="Да",E5*Справочник!$D$5,0)</f>
        <v>0</v>
      </c>
      <c r="H5" s="39">
        <f t="shared" ref="H5:H7" si="1">SUM(E5:G5)</f>
        <v>2800</v>
      </c>
    </row>
    <row r="6" spans="1:8" x14ac:dyDescent="0.25">
      <c r="A6" s="34" t="s">
        <v>30</v>
      </c>
      <c r="B6" s="30">
        <v>16</v>
      </c>
      <c r="C6" s="42">
        <f t="shared" si="0"/>
        <v>26.666666666666668</v>
      </c>
      <c r="D6" s="35" t="s">
        <v>32</v>
      </c>
      <c r="E6" s="44">
        <f>B6*Справочник!$D$6</f>
        <v>5600</v>
      </c>
      <c r="F6" s="38">
        <f>IF(E6&gt;Справочник!$D$4,$B$9*Справочник!$D$3/100*C6,0)</f>
        <v>600</v>
      </c>
      <c r="G6" s="44">
        <f>IF(D6="Да",E6*Справочник!$D$5,0)</f>
        <v>280</v>
      </c>
      <c r="H6" s="39">
        <f t="shared" si="1"/>
        <v>6480</v>
      </c>
    </row>
    <row r="7" spans="1:8" ht="15.75" thickBot="1" x14ac:dyDescent="0.3">
      <c r="A7" s="34" t="s">
        <v>31</v>
      </c>
      <c r="B7" s="30">
        <v>20</v>
      </c>
      <c r="C7" s="42">
        <f t="shared" si="0"/>
        <v>33.333333333333336</v>
      </c>
      <c r="D7" s="35"/>
      <c r="E7" s="44">
        <f>B7*Справочник!$D$6</f>
        <v>7000</v>
      </c>
      <c r="F7" s="38">
        <f>IF(E7&gt;Справочник!$D$4,$B$9*Справочник!$D$3/100*C7,0)</f>
        <v>750</v>
      </c>
      <c r="G7" s="44">
        <f>IF(D7="Да",E7*Справочник!$D$5,0)</f>
        <v>0</v>
      </c>
      <c r="H7" s="39">
        <f t="shared" si="1"/>
        <v>7750</v>
      </c>
    </row>
    <row r="8" spans="1:8" ht="15.75" thickBot="1" x14ac:dyDescent="0.3">
      <c r="A8" s="37" t="s">
        <v>35</v>
      </c>
      <c r="B8" s="45">
        <f>SUM(B4:B7)</f>
        <v>60</v>
      </c>
      <c r="C8" s="46"/>
      <c r="D8" s="46"/>
      <c r="E8" s="47">
        <f>SUM(E4:E7)</f>
        <v>21000</v>
      </c>
      <c r="F8" s="48">
        <f>SUM(F4:F7)</f>
        <v>1950</v>
      </c>
      <c r="G8" s="47">
        <f>SUM(G4:G7)</f>
        <v>280</v>
      </c>
      <c r="H8" s="49">
        <f>SUM(H4:H7)</f>
        <v>23230</v>
      </c>
    </row>
    <row r="9" spans="1:8" x14ac:dyDescent="0.25">
      <c r="A9" s="33" t="s">
        <v>33</v>
      </c>
      <c r="B9">
        <v>15000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B1" activeCellId="1" sqref="A1 B1"/>
    </sheetView>
  </sheetViews>
  <sheetFormatPr defaultRowHeight="15" x14ac:dyDescent="0.25"/>
  <sheetData>
    <row r="1" spans="1:2" x14ac:dyDescent="0.25">
      <c r="A1" s="27" t="s">
        <v>36</v>
      </c>
      <c r="B1" s="27" t="s">
        <v>37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16"/>
  <sheetViews>
    <sheetView workbookViewId="0">
      <selection activeCell="I7" sqref="I7"/>
    </sheetView>
  </sheetViews>
  <sheetFormatPr defaultRowHeight="15" outlineLevelCol="2" x14ac:dyDescent="0.25"/>
  <cols>
    <col min="1" max="1" width="9.42578125" bestFit="1" customWidth="1"/>
    <col min="2" max="2" width="17.140625" bestFit="1" customWidth="1"/>
    <col min="3" max="3" width="35.85546875" bestFit="1" customWidth="1"/>
    <col min="4" max="4" width="22.42578125" customWidth="1" outlineLevel="1"/>
    <col min="5" max="5" width="12.42578125" customWidth="1" outlineLevel="1"/>
    <col min="6" max="6" width="20.7109375" customWidth="1" outlineLevel="2"/>
    <col min="7" max="7" width="13.140625" customWidth="1" outlineLevel="2"/>
  </cols>
  <sheetData>
    <row r="1" spans="1:8" x14ac:dyDescent="0.25">
      <c r="A1" s="50" t="s">
        <v>38</v>
      </c>
      <c r="B1" s="50" t="s">
        <v>39</v>
      </c>
      <c r="C1" s="50" t="s">
        <v>40</v>
      </c>
      <c r="D1" s="50" t="s">
        <v>41</v>
      </c>
      <c r="E1" s="50" t="s">
        <v>42</v>
      </c>
      <c r="F1" s="50" t="s">
        <v>43</v>
      </c>
      <c r="G1" s="50" t="s">
        <v>44</v>
      </c>
      <c r="H1" s="50" t="s">
        <v>45</v>
      </c>
    </row>
    <row r="2" spans="1:8" x14ac:dyDescent="0.25">
      <c r="A2" s="5">
        <v>2</v>
      </c>
      <c r="B2" t="s">
        <v>47</v>
      </c>
      <c r="C2" t="s">
        <v>53</v>
      </c>
      <c r="D2" t="s">
        <v>61</v>
      </c>
      <c r="E2" t="s">
        <v>66</v>
      </c>
      <c r="F2" s="51">
        <v>42887</v>
      </c>
      <c r="G2" t="s">
        <v>69</v>
      </c>
      <c r="H2">
        <v>124</v>
      </c>
    </row>
    <row r="3" spans="1:8" x14ac:dyDescent="0.25">
      <c r="A3" s="5">
        <v>5</v>
      </c>
      <c r="B3" t="s">
        <v>47</v>
      </c>
      <c r="C3" t="s">
        <v>54</v>
      </c>
      <c r="D3" t="s">
        <v>60</v>
      </c>
      <c r="E3" t="s">
        <v>66</v>
      </c>
      <c r="F3" s="51">
        <v>43599</v>
      </c>
      <c r="G3" t="s">
        <v>68</v>
      </c>
      <c r="H3">
        <v>236</v>
      </c>
    </row>
    <row r="4" spans="1:8" x14ac:dyDescent="0.25">
      <c r="A4" s="5">
        <v>8</v>
      </c>
      <c r="B4" t="s">
        <v>47</v>
      </c>
      <c r="C4" t="s">
        <v>55</v>
      </c>
      <c r="D4" t="s">
        <v>60</v>
      </c>
      <c r="E4" t="s">
        <v>66</v>
      </c>
      <c r="F4" s="51">
        <v>43297</v>
      </c>
      <c r="G4" t="s">
        <v>68</v>
      </c>
      <c r="H4">
        <v>380</v>
      </c>
    </row>
    <row r="5" spans="1:8" x14ac:dyDescent="0.25">
      <c r="A5" s="5">
        <v>11</v>
      </c>
      <c r="B5" t="s">
        <v>47</v>
      </c>
      <c r="C5" t="s">
        <v>56</v>
      </c>
      <c r="D5" t="s">
        <v>63</v>
      </c>
      <c r="E5" t="s">
        <v>66</v>
      </c>
      <c r="F5" s="51">
        <v>43091</v>
      </c>
      <c r="G5" t="s">
        <v>71</v>
      </c>
      <c r="H5">
        <v>41</v>
      </c>
    </row>
    <row r="6" spans="1:8" x14ac:dyDescent="0.25">
      <c r="A6" s="5">
        <v>15</v>
      </c>
      <c r="B6" t="s">
        <v>47</v>
      </c>
      <c r="C6" t="s">
        <v>54</v>
      </c>
      <c r="D6" t="s">
        <v>64</v>
      </c>
      <c r="E6" t="s">
        <v>66</v>
      </c>
      <c r="F6" s="51">
        <v>43576</v>
      </c>
      <c r="G6" t="s">
        <v>67</v>
      </c>
      <c r="H6">
        <v>13</v>
      </c>
    </row>
    <row r="7" spans="1:8" x14ac:dyDescent="0.25">
      <c r="A7" s="5">
        <v>1</v>
      </c>
      <c r="B7" t="s">
        <v>46</v>
      </c>
      <c r="C7" t="s">
        <v>49</v>
      </c>
      <c r="D7" t="s">
        <v>60</v>
      </c>
      <c r="E7" t="s">
        <v>65</v>
      </c>
      <c r="F7" s="51">
        <v>42736</v>
      </c>
      <c r="G7" t="s">
        <v>68</v>
      </c>
      <c r="H7">
        <v>381</v>
      </c>
    </row>
    <row r="8" spans="1:8" x14ac:dyDescent="0.25">
      <c r="A8" s="5">
        <v>3</v>
      </c>
      <c r="B8" t="s">
        <v>48</v>
      </c>
      <c r="C8" t="s">
        <v>57</v>
      </c>
      <c r="D8" t="s">
        <v>60</v>
      </c>
      <c r="E8" t="s">
        <v>65</v>
      </c>
      <c r="F8" s="51">
        <v>43252</v>
      </c>
      <c r="G8" t="s">
        <v>68</v>
      </c>
      <c r="H8">
        <v>123</v>
      </c>
    </row>
    <row r="9" spans="1:8" x14ac:dyDescent="0.25">
      <c r="A9" s="5">
        <v>4</v>
      </c>
      <c r="B9" t="s">
        <v>46</v>
      </c>
      <c r="C9" t="s">
        <v>50</v>
      </c>
      <c r="D9" t="s">
        <v>62</v>
      </c>
      <c r="E9" t="s">
        <v>65</v>
      </c>
      <c r="F9" s="51">
        <v>42760</v>
      </c>
      <c r="G9" t="s">
        <v>70</v>
      </c>
      <c r="H9">
        <v>531</v>
      </c>
    </row>
    <row r="10" spans="1:8" x14ac:dyDescent="0.25">
      <c r="A10" s="5">
        <v>6</v>
      </c>
      <c r="B10" t="s">
        <v>48</v>
      </c>
      <c r="C10" t="s">
        <v>58</v>
      </c>
      <c r="D10" t="s">
        <v>63</v>
      </c>
      <c r="E10" t="s">
        <v>65</v>
      </c>
      <c r="F10" s="51">
        <v>43155</v>
      </c>
      <c r="G10" t="s">
        <v>71</v>
      </c>
      <c r="H10">
        <v>83</v>
      </c>
    </row>
    <row r="11" spans="1:8" x14ac:dyDescent="0.25">
      <c r="A11" s="5">
        <v>7</v>
      </c>
      <c r="B11" t="s">
        <v>46</v>
      </c>
      <c r="C11" t="s">
        <v>51</v>
      </c>
      <c r="D11" t="s">
        <v>63</v>
      </c>
      <c r="E11" t="s">
        <v>65</v>
      </c>
      <c r="F11" s="51">
        <v>43155</v>
      </c>
      <c r="G11" t="s">
        <v>71</v>
      </c>
      <c r="H11">
        <v>371</v>
      </c>
    </row>
    <row r="12" spans="1:8" x14ac:dyDescent="0.25">
      <c r="A12" s="5">
        <v>9</v>
      </c>
      <c r="B12" t="s">
        <v>48</v>
      </c>
      <c r="C12" t="s">
        <v>59</v>
      </c>
      <c r="D12" t="s">
        <v>64</v>
      </c>
      <c r="E12" t="s">
        <v>65</v>
      </c>
      <c r="F12" s="51">
        <v>42800</v>
      </c>
      <c r="G12" t="s">
        <v>67</v>
      </c>
      <c r="H12">
        <v>184</v>
      </c>
    </row>
    <row r="13" spans="1:8" x14ac:dyDescent="0.25">
      <c r="A13" s="5">
        <v>10</v>
      </c>
      <c r="B13" t="s">
        <v>46</v>
      </c>
      <c r="C13" t="s">
        <v>52</v>
      </c>
      <c r="D13" t="s">
        <v>64</v>
      </c>
      <c r="E13" t="s">
        <v>65</v>
      </c>
      <c r="F13" s="51">
        <v>42831</v>
      </c>
      <c r="G13" t="s">
        <v>67</v>
      </c>
      <c r="H13">
        <v>168</v>
      </c>
    </row>
    <row r="14" spans="1:8" x14ac:dyDescent="0.25">
      <c r="A14" s="5">
        <v>12</v>
      </c>
      <c r="B14" t="s">
        <v>48</v>
      </c>
      <c r="C14" t="s">
        <v>58</v>
      </c>
      <c r="D14" t="s">
        <v>60</v>
      </c>
      <c r="E14" t="s">
        <v>65</v>
      </c>
      <c r="F14" s="51">
        <v>43388</v>
      </c>
      <c r="G14" t="s">
        <v>68</v>
      </c>
      <c r="H14">
        <v>955</v>
      </c>
    </row>
    <row r="15" spans="1:8" x14ac:dyDescent="0.25">
      <c r="A15" s="5">
        <v>13</v>
      </c>
      <c r="B15" t="s">
        <v>46</v>
      </c>
      <c r="C15" t="s">
        <v>52</v>
      </c>
      <c r="D15" t="s">
        <v>61</v>
      </c>
      <c r="E15" t="s">
        <v>65</v>
      </c>
      <c r="F15" s="51">
        <v>42887</v>
      </c>
      <c r="G15" t="s">
        <v>69</v>
      </c>
      <c r="H15">
        <v>13</v>
      </c>
    </row>
    <row r="16" spans="1:8" x14ac:dyDescent="0.25">
      <c r="A16" s="5">
        <v>14</v>
      </c>
      <c r="B16" t="s">
        <v>48</v>
      </c>
      <c r="C16" t="s">
        <v>57</v>
      </c>
      <c r="D16" t="s">
        <v>60</v>
      </c>
      <c r="E16" t="s">
        <v>65</v>
      </c>
      <c r="F16" s="51">
        <v>42887</v>
      </c>
      <c r="G16" t="s">
        <v>68</v>
      </c>
      <c r="H16">
        <v>631</v>
      </c>
    </row>
  </sheetData>
  <autoFilter ref="A1:H1">
    <filterColumn colId="0">
      <filters>
        <filter val="Номер"/>
      </filters>
    </filterColumn>
    <sortState ref="A2:H16">
      <sortCondition ref="E1"/>
    </sortState>
  </autoFilter>
  <dataValidations count="4">
    <dataValidation type="whole" allowBlank="1" showInputMessage="1" showErrorMessage="1" sqref="A2:A16">
      <formula1>1</formula1>
      <formula2>100</formula2>
    </dataValidation>
    <dataValidation type="textLength" allowBlank="1" showInputMessage="1" showErrorMessage="1" sqref="E2:E16">
      <formula1>3</formula1>
      <formula2>10</formula2>
    </dataValidation>
    <dataValidation type="date" allowBlank="1" showInputMessage="1" showErrorMessage="1" sqref="F2:F16">
      <formula1>42370</formula1>
      <formula2>43831</formula2>
    </dataValidation>
    <dataValidation type="whole" allowBlank="1" showInputMessage="1" showErrorMessage="1" sqref="H2:H16">
      <formula1>1</formula1>
      <formula2>2000</formula2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tabSelected="1" workbookViewId="0">
      <selection activeCell="E13" sqref="E13"/>
    </sheetView>
  </sheetViews>
  <sheetFormatPr defaultRowHeight="15" x14ac:dyDescent="0.25"/>
  <cols>
    <col min="1" max="1" width="21.7109375" bestFit="1" customWidth="1"/>
    <col min="2" max="2" width="15.140625" bestFit="1" customWidth="1"/>
    <col min="3" max="3" width="15.42578125" bestFit="1" customWidth="1"/>
  </cols>
  <sheetData>
    <row r="1" spans="1:3" x14ac:dyDescent="0.25">
      <c r="A1" s="27" t="s">
        <v>13</v>
      </c>
    </row>
    <row r="2" spans="1:3" x14ac:dyDescent="0.25">
      <c r="A2" s="55" t="s">
        <v>83</v>
      </c>
      <c r="B2" s="55" t="s">
        <v>84</v>
      </c>
      <c r="C2" s="55" t="s">
        <v>85</v>
      </c>
    </row>
    <row r="3" spans="1:3" x14ac:dyDescent="0.25">
      <c r="A3" s="52" t="s">
        <v>86</v>
      </c>
      <c r="B3" s="52">
        <v>4</v>
      </c>
      <c r="C3" s="53">
        <f>IFERROR(VLOOKUP(A3,'F2-2'!$A$4:$B$12,2,FALSE)*B3,"Нет в наличии")</f>
        <v>116</v>
      </c>
    </row>
    <row r="4" spans="1:3" x14ac:dyDescent="0.25">
      <c r="A4" s="52" t="s">
        <v>82</v>
      </c>
      <c r="B4" s="52">
        <v>2</v>
      </c>
      <c r="C4" s="53">
        <f>IFERROR(VLOOKUP(A4,'F2-2'!$A$4:$B$12,2,FALSE)*B4,"Нет в наличии")</f>
        <v>82</v>
      </c>
    </row>
    <row r="5" spans="1:3" x14ac:dyDescent="0.25">
      <c r="A5" s="52" t="s">
        <v>76</v>
      </c>
      <c r="B5" s="52">
        <v>1</v>
      </c>
      <c r="C5" s="53">
        <f>IFERROR(VLOOKUP(A5,'F2-2'!$A$4:$B$12,2,FALSE)*B5,"Нет в наличии")</f>
        <v>120</v>
      </c>
    </row>
    <row r="6" spans="1:3" x14ac:dyDescent="0.25">
      <c r="A6" s="52" t="s">
        <v>87</v>
      </c>
      <c r="B6" s="52">
        <v>3</v>
      </c>
      <c r="C6" s="53" t="str">
        <f>IFERROR(VLOOKUP(A6,'F2-2'!$A$4:$B$12,2,FALSE)*B6,"Нет в наличии")</f>
        <v>Нет в наличии</v>
      </c>
    </row>
    <row r="7" spans="1:3" x14ac:dyDescent="0.25">
      <c r="A7" s="52" t="s">
        <v>78</v>
      </c>
      <c r="B7" s="52">
        <v>4</v>
      </c>
      <c r="C7" s="53">
        <f>IFERROR(VLOOKUP(A7,'F2-2'!$A$4:$B$12,2,FALSE)*B7,"Нет в наличии")</f>
        <v>80</v>
      </c>
    </row>
    <row r="8" spans="1:3" x14ac:dyDescent="0.25">
      <c r="A8" s="52" t="s">
        <v>88</v>
      </c>
      <c r="B8" s="52">
        <v>1</v>
      </c>
      <c r="C8" s="53" t="str">
        <f>IFERROR(VLOOKUP(A8,'F2-2'!$A$4:$B$12,2,FALSE)*B8,"Нет в наличии")</f>
        <v>Нет в наличии</v>
      </c>
    </row>
    <row r="9" spans="1:3" x14ac:dyDescent="0.25">
      <c r="A9" s="52" t="s">
        <v>89</v>
      </c>
      <c r="B9" s="52">
        <v>10</v>
      </c>
      <c r="C9" s="53" t="str">
        <f>IFERROR(VLOOKUP(A9,'F2-2'!$A$4:$B$12,2,FALSE)*B9,"Нет в наличии")</f>
        <v>Нет в наличии</v>
      </c>
    </row>
    <row r="10" spans="1:3" x14ac:dyDescent="0.25">
      <c r="A10" s="52" t="s">
        <v>77</v>
      </c>
      <c r="B10" s="52">
        <v>3</v>
      </c>
      <c r="C10" s="53">
        <f>IFERROR(VLOOKUP(A10,'F2-2'!$A$4:$B$12,2,FALSE)*B10,"Нет в наличии")</f>
        <v>57</v>
      </c>
    </row>
    <row r="11" spans="1:3" x14ac:dyDescent="0.25">
      <c r="A11" s="52" t="s">
        <v>81</v>
      </c>
      <c r="B11" s="52">
        <v>2</v>
      </c>
      <c r="C11" s="53">
        <f>IFERROR(VLOOKUP(A11,'F2-2'!$A$4:$B$12,2,FALSE)*B11,"Нет в наличии")</f>
        <v>54</v>
      </c>
    </row>
    <row r="12" spans="1:3" x14ac:dyDescent="0.25">
      <c r="A12" s="52" t="s">
        <v>75</v>
      </c>
      <c r="B12" s="52">
        <v>1</v>
      </c>
      <c r="C12" s="53">
        <f>IFERROR(VLOOKUP(A12,'F2-2'!$A$4:$B$12,2,FALSE)*B12,"Нет в наличии")</f>
        <v>550</v>
      </c>
    </row>
    <row r="13" spans="1:3" x14ac:dyDescent="0.25">
      <c r="A13" s="52" t="s">
        <v>79</v>
      </c>
      <c r="B13" s="52">
        <v>2</v>
      </c>
      <c r="C13" s="53">
        <f>IFERROR(VLOOKUP(A13,'F2-2'!$A$4:$B$12,2,FALSE)*B13,"Нет в наличии")</f>
        <v>1980</v>
      </c>
    </row>
    <row r="14" spans="1:3" x14ac:dyDescent="0.25">
      <c r="B14" s="54" t="s">
        <v>35</v>
      </c>
      <c r="C14" s="53">
        <f>SUM(C3:C13)</f>
        <v>3039</v>
      </c>
    </row>
  </sheetData>
  <conditionalFormatting sqref="C3:C13">
    <cfRule type="containsText" dxfId="0" priority="1" operator="containsText" text="Нет в наличии">
      <formula>NOT(ISERROR(SEARCH("Нет в наличии",C3)))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workbookViewId="0">
      <selection activeCell="A3" sqref="A3:B3"/>
    </sheetView>
  </sheetViews>
  <sheetFormatPr defaultRowHeight="15" x14ac:dyDescent="0.25"/>
  <cols>
    <col min="1" max="1" width="20.5703125" bestFit="1" customWidth="1"/>
    <col min="2" max="2" width="13.85546875" customWidth="1"/>
  </cols>
  <sheetData>
    <row r="1" spans="1:2" x14ac:dyDescent="0.25">
      <c r="A1" s="27" t="s">
        <v>19</v>
      </c>
      <c r="B1" s="27" t="s">
        <v>72</v>
      </c>
    </row>
    <row r="3" spans="1:2" x14ac:dyDescent="0.25">
      <c r="A3" s="55" t="s">
        <v>73</v>
      </c>
      <c r="B3" s="55" t="s">
        <v>74</v>
      </c>
    </row>
    <row r="4" spans="1:2" x14ac:dyDescent="0.25">
      <c r="A4" s="52" t="s">
        <v>75</v>
      </c>
      <c r="B4" s="52">
        <v>550</v>
      </c>
    </row>
    <row r="5" spans="1:2" x14ac:dyDescent="0.25">
      <c r="A5" s="52" t="s">
        <v>76</v>
      </c>
      <c r="B5" s="52">
        <v>120</v>
      </c>
    </row>
    <row r="6" spans="1:2" x14ac:dyDescent="0.25">
      <c r="A6" s="52" t="s">
        <v>77</v>
      </c>
      <c r="B6" s="52">
        <v>19</v>
      </c>
    </row>
    <row r="7" spans="1:2" x14ac:dyDescent="0.25">
      <c r="A7" s="52" t="s">
        <v>82</v>
      </c>
      <c r="B7" s="52">
        <v>41</v>
      </c>
    </row>
    <row r="8" spans="1:2" x14ac:dyDescent="0.25">
      <c r="A8" s="52" t="s">
        <v>78</v>
      </c>
      <c r="B8" s="52">
        <v>20</v>
      </c>
    </row>
    <row r="9" spans="1:2" x14ac:dyDescent="0.25">
      <c r="A9" s="52" t="s">
        <v>79</v>
      </c>
      <c r="B9" s="52">
        <v>990</v>
      </c>
    </row>
    <row r="10" spans="1:2" x14ac:dyDescent="0.25">
      <c r="A10" s="52" t="s">
        <v>80</v>
      </c>
      <c r="B10" s="52">
        <v>15</v>
      </c>
    </row>
    <row r="11" spans="1:2" x14ac:dyDescent="0.25">
      <c r="A11" s="52" t="s">
        <v>81</v>
      </c>
      <c r="B11" s="52">
        <v>27</v>
      </c>
    </row>
    <row r="12" spans="1:2" x14ac:dyDescent="0.25">
      <c r="A12" s="52" t="s">
        <v>86</v>
      </c>
      <c r="B12" s="52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A2</vt:lpstr>
      <vt:lpstr>Справочник</vt:lpstr>
      <vt:lpstr>Расчет</vt:lpstr>
      <vt:lpstr>Диаграмма</vt:lpstr>
      <vt:lpstr>D3</vt:lpstr>
      <vt:lpstr>F2-1</vt:lpstr>
      <vt:lpstr>F2-2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Егор Митрофанов</dc:creator>
  <cp:lastModifiedBy>Егор Митрофанов</cp:lastModifiedBy>
  <dcterms:created xsi:type="dcterms:W3CDTF">2019-11-30T11:38:52Z</dcterms:created>
  <dcterms:modified xsi:type="dcterms:W3CDTF">2019-11-30T14:10:00Z</dcterms:modified>
</cp:coreProperties>
</file>